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AppData\Local\Temp\claude\C--Users-marti-OneDrive-Desktop-CLAUDE\cc5bb21a-e7ba-45a5-9ee1-3b9cb4a2d5bc\scratchpad\"/>
    </mc:Choice>
  </mc:AlternateContent>
  <xr:revisionPtr revIDLastSave="0" documentId="8_{1A3ADD39-C848-49DE-8793-BD905B565102}" xr6:coauthVersionLast="47" xr6:coauthVersionMax="47" xr10:uidLastSave="{00000000-0000-0000-0000-000000000000}"/>
  <bookViews>
    <workbookView xWindow="-120" yWindow="-120" windowWidth="29040" windowHeight="15720" xr2:uid="{0E063045-8F0A-4FCF-8037-F4FEADEFF56F}"/>
  </bookViews>
  <sheets>
    <sheet name="Precificacao" sheetId="1" r:id="rId1"/>
    <sheet name="Hora Sa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2" l="1"/>
  <c r="B36" i="2"/>
  <c r="B35" i="2"/>
  <c r="B34" i="2"/>
  <c r="B33" i="2"/>
  <c r="B32" i="2"/>
  <c r="B31" i="2"/>
  <c r="B28" i="2"/>
  <c r="B27" i="2"/>
  <c r="B26" i="2"/>
  <c r="B42" i="1"/>
  <c r="C40" i="1"/>
  <c r="C38" i="1"/>
  <c r="B40" i="1"/>
  <c r="B39" i="1"/>
  <c r="B38" i="1"/>
  <c r="B37" i="1"/>
  <c r="B36" i="1"/>
  <c r="B35" i="1"/>
  <c r="B34" i="1"/>
  <c r="B33" i="1"/>
  <c r="B32" i="1"/>
  <c r="B29" i="1"/>
</calcChain>
</file>

<file path=xl/sharedStrings.xml><?xml version="1.0" encoding="utf-8"?>
<sst xmlns="http://schemas.openxmlformats.org/spreadsheetml/2006/main" count="76" uniqueCount="73">
  <si>
    <t>ILIKIA · Ficha de Precificação</t>
  </si>
  <si>
    <t>Sistema de precificação para consultores · desenvolvido by moneypause</t>
  </si>
  <si>
    <t>COMO USAR</t>
  </si>
  <si>
    <t>Preencha apenas as células destacadas em amarelo. Todas as demais são calculadas automaticamente.</t>
  </si>
  <si>
    <t>DADOS DO PROCEDIMENTO</t>
  </si>
  <si>
    <t>Nome do procedimento</t>
  </si>
  <si>
    <t>Consulta</t>
  </si>
  <si>
    <t>Valor de venda</t>
  </si>
  <si>
    <t>Alíquota de imposto</t>
  </si>
  <si>
    <t>Taxa de cartão</t>
  </si>
  <si>
    <t>Modalidade do cartão</t>
  </si>
  <si>
    <t>Sem antecipação</t>
  </si>
  <si>
    <t>Premiação de equipe</t>
  </si>
  <si>
    <t>Honorário médico</t>
  </si>
  <si>
    <t>Despesas operacionais</t>
  </si>
  <si>
    <t>sobre o valor de venda</t>
  </si>
  <si>
    <t>INSUMOS — FICHA TÉCNICA</t>
  </si>
  <si>
    <t>adicione quantos itens forem usados no procedimento</t>
  </si>
  <si>
    <t>Item</t>
  </si>
  <si>
    <t>Valor (R$)</t>
  </si>
  <si>
    <t>Materiais e medicamentos</t>
  </si>
  <si>
    <t>TOTAL DE INSUMOS</t>
  </si>
  <si>
    <t>RESULTADO</t>
  </si>
  <si>
    <t>% sobre a venda</t>
  </si>
  <si>
    <t>(-) Impostos</t>
  </si>
  <si>
    <t>(-) Taxa de cartão</t>
  </si>
  <si>
    <t>(-) Insumos</t>
  </si>
  <si>
    <t>(-) Honorário médico</t>
  </si>
  <si>
    <t>(-) Premiação de equipe</t>
  </si>
  <si>
    <t>MARGEM DE CONTRIBUIÇÃO</t>
  </si>
  <si>
    <t>(-) Despesas operacionais</t>
  </si>
  <si>
    <t>RESULTADO FINAL</t>
  </si>
  <si>
    <t>SITUAÇÃO DA MARGEM</t>
  </si>
  <si>
    <t>Legenda da cor do resultado final:</t>
  </si>
  <si>
    <t>Verde: acima de 20%   ·   Amarelo: entre 10% e 20%   ·   Vermelho: abaixo de 10%</t>
  </si>
  <si>
    <t>A régua de cor avalia o resultado final líquido, já descontadas as despesas operacionais.</t>
  </si>
  <si>
    <t>O custo da sala não entra aqui: ele compõe as despesas operacionais e é calculado na aba "Hora Sala".</t>
  </si>
  <si>
    <t>ILIKIA · Cálculo da Hora Sala</t>
  </si>
  <si>
    <t>desenvolvido by moneypause</t>
  </si>
  <si>
    <t>Preencha apenas as células em amarelo. Nas salas, informe o uso real por semana, não a capacidade.</t>
  </si>
  <si>
    <t>DADOS DA CLÍNICA</t>
  </si>
  <si>
    <t>Despesas operacionais médias (por mês)</t>
  </si>
  <si>
    <t>Número de salas que geram receita</t>
  </si>
  <si>
    <t>consultórios / procedimentos / exames</t>
  </si>
  <si>
    <t>Horas por dia</t>
  </si>
  <si>
    <t>Dias por semana</t>
  </si>
  <si>
    <t>Semanas por mês</t>
  </si>
  <si>
    <t>USO SEMANAL DE CADA SALA</t>
  </si>
  <si>
    <t>Sala</t>
  </si>
  <si>
    <t>Horas por semana</t>
  </si>
  <si>
    <t>Sala 1</t>
  </si>
  <si>
    <t>Sala 2</t>
  </si>
  <si>
    <t>Sala 3</t>
  </si>
  <si>
    <t>Sala 4</t>
  </si>
  <si>
    <t>Sala 5</t>
  </si>
  <si>
    <t>Sala 6</t>
  </si>
  <si>
    <t>Sala 7</t>
  </si>
  <si>
    <t>Sala 8</t>
  </si>
  <si>
    <t>Sala 9</t>
  </si>
  <si>
    <t>Sala 10</t>
  </si>
  <si>
    <t>TOTAL DE HORAS POR SEMANA</t>
  </si>
  <si>
    <t>MÉDIA POR SALA (h/semana)</t>
  </si>
  <si>
    <t>Verificação</t>
  </si>
  <si>
    <t>Capacidade mensal de horas</t>
  </si>
  <si>
    <t>Horas utilizadas por mês</t>
  </si>
  <si>
    <t>Horas ociosas por mês</t>
  </si>
  <si>
    <t>% de utilização</t>
  </si>
  <si>
    <t>Custo por hora (se a capacidade fosse cheia)</t>
  </si>
  <si>
    <t>Custo de ociosidade por mês</t>
  </si>
  <si>
    <t>VALOR DA HORA SALA</t>
  </si>
  <si>
    <t>por hora efetivamente utilizada</t>
  </si>
  <si>
    <t>A hora sala custa mais que o custo de capacidade cheia porque as horas ociosas também precisam ser pagas.</t>
  </si>
  <si>
    <t>Quanto maior a ociosidade, mais cara fica cada hora efetivamente usada.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</si>
</sst>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"/>
    <numFmt numFmtId="165" formatCode="0.0%"/>
    <numFmt numFmtId="166" formatCode="#,##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11565E"/>
      <name val="Calibri"/>
      <family val="2"/>
    </font>
    <font>
      <sz val="9"/>
      <color rgb="FF6E7C7D"/>
      <name val="Calibri"/>
      <family val="2"/>
    </font>
    <font>
      <i/>
      <sz val="9"/>
      <color rgb="FF6E7C7D"/>
      <name val="Calibri"/>
      <family val="2"/>
    </font>
    <font>
      <sz val="11"/>
      <color rgb="FF0000A0"/>
      <name val="Calibri"/>
      <family val="2"/>
    </font>
    <font>
      <b/>
      <sz val="11"/>
      <color theme="1"/>
      <name val="Calibri"/>
      <family val="2"/>
    </font>
    <font>
      <b/>
      <sz val="12"/>
      <color rgb="FF11565E"/>
      <name val="Calibri"/>
      <family val="2"/>
    </font>
    <font>
      <b/>
      <sz val="13"/>
      <color theme="1"/>
      <name val="Calibri"/>
      <family val="2"/>
    </font>
    <font>
      <sz val="11"/>
      <color rgb="FFA3272A"/>
      <name val="Calibri"/>
      <family val="2"/>
    </font>
    <font>
      <b/>
      <sz val="12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8A6200"/>
      <name val="Calibri"/>
      <family val="2"/>
    </font>
    <font>
      <b/>
      <sz val="14"/>
      <color rgb="FF1E6B2E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FBF8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DED8D1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E7F3E8"/>
        <bgColor indexed="64"/>
      </patternFill>
    </fill>
  </fills>
  <borders count="5">
    <border>
      <left/>
      <right/>
      <top/>
      <bottom/>
      <diagonal/>
    </border>
    <border>
      <left style="thin">
        <color rgb="FFDED8D1"/>
      </left>
      <right style="thin">
        <color rgb="FFDED8D1"/>
      </right>
      <top style="thin">
        <color rgb="FFDED8D1"/>
      </top>
      <bottom style="thin">
        <color rgb="FFDED8D1"/>
      </bottom>
      <diagonal/>
    </border>
    <border>
      <left/>
      <right/>
      <top style="thin">
        <color rgb="FFDED8D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DED8D1"/>
      </left>
      <right style="thin">
        <color rgb="FFDED8D1"/>
      </right>
      <top style="thin">
        <color rgb="FFDED8D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0" fontId="3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6" fillId="4" borderId="0" xfId="0" applyFont="1" applyFill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4" fontId="1" fillId="2" borderId="0" xfId="0" applyNumberFormat="1" applyFont="1" applyFill="1"/>
    <xf numFmtId="0" fontId="6" fillId="2" borderId="2" xfId="0" applyFont="1" applyFill="1" applyBorder="1"/>
    <xf numFmtId="164" fontId="6" fillId="2" borderId="2" xfId="0" applyNumberFormat="1" applyFont="1" applyFill="1" applyBorder="1"/>
    <xf numFmtId="165" fontId="6" fillId="2" borderId="0" xfId="0" applyNumberFormat="1" applyFont="1" applyFill="1"/>
    <xf numFmtId="164" fontId="6" fillId="4" borderId="0" xfId="0" applyNumberFormat="1" applyFont="1" applyFill="1"/>
    <xf numFmtId="165" fontId="6" fillId="4" borderId="0" xfId="0" applyNumberFormat="1" applyFont="1" applyFill="1"/>
    <xf numFmtId="0" fontId="8" fillId="4" borderId="0" xfId="0" applyFont="1" applyFill="1"/>
    <xf numFmtId="164" fontId="8" fillId="4" borderId="0" xfId="0" applyNumberFormat="1" applyFont="1" applyFill="1"/>
    <xf numFmtId="165" fontId="8" fillId="4" borderId="0" xfId="0" applyNumberFormat="1" applyFont="1" applyFill="1"/>
    <xf numFmtId="0" fontId="9" fillId="2" borderId="0" xfId="0" applyFont="1" applyFill="1"/>
    <xf numFmtId="164" fontId="9" fillId="2" borderId="0" xfId="0" applyNumberFormat="1" applyFont="1" applyFill="1"/>
    <xf numFmtId="0" fontId="10" fillId="2" borderId="0" xfId="0" applyFont="1" applyFill="1"/>
    <xf numFmtId="3" fontId="5" fillId="3" borderId="1" xfId="0" applyNumberFormat="1" applyFont="1" applyFill="1" applyBorder="1"/>
    <xf numFmtId="166" fontId="5" fillId="3" borderId="1" xfId="0" applyNumberFormat="1" applyFont="1" applyFill="1" applyBorder="1"/>
    <xf numFmtId="166" fontId="1" fillId="2" borderId="0" xfId="0" applyNumberFormat="1" applyFont="1" applyFill="1"/>
    <xf numFmtId="166" fontId="6" fillId="2" borderId="0" xfId="0" applyNumberFormat="1" applyFont="1" applyFill="1"/>
    <xf numFmtId="166" fontId="5" fillId="3" borderId="4" xfId="0" applyNumberFormat="1" applyFont="1" applyFill="1" applyBorder="1"/>
    <xf numFmtId="0" fontId="6" fillId="2" borderId="3" xfId="0" applyFont="1" applyFill="1" applyBorder="1"/>
    <xf numFmtId="166" fontId="6" fillId="2" borderId="3" xfId="0" applyNumberFormat="1" applyFont="1" applyFill="1" applyBorder="1"/>
    <xf numFmtId="0" fontId="11" fillId="2" borderId="0" xfId="0" applyFont="1" applyFill="1"/>
    <xf numFmtId="0" fontId="12" fillId="5" borderId="0" xfId="0" applyFont="1" applyFill="1"/>
    <xf numFmtId="164" fontId="12" fillId="5" borderId="0" xfId="0" applyNumberFormat="1" applyFont="1" applyFill="1"/>
    <xf numFmtId="0" fontId="13" fillId="6" borderId="0" xfId="0" applyFont="1" applyFill="1"/>
    <xf numFmtId="164" fontId="13" fillId="6" borderId="0" xfId="0" applyNumberFormat="1" applyFont="1" applyFill="1"/>
  </cellXfs>
  <cellStyles count="1">
    <cellStyle name="Normal" xfId="0" builtinId="0"/>
  </cellStyles>
  <dxfs count="4">
    <dxf>
      <font>
        <b/>
        <i val="0"/>
        <color rgb="FFA3272A"/>
      </font>
      <fill>
        <patternFill>
          <bgColor rgb="FFFBE7E7"/>
        </patternFill>
      </fill>
    </dxf>
    <dxf>
      <font>
        <b/>
        <i val="0"/>
        <color rgb="FFA3272A"/>
      </font>
      <fill>
        <patternFill>
          <bgColor rgb="FFFBE7E7"/>
        </patternFill>
      </fill>
    </dxf>
    <dxf>
      <font>
        <b/>
        <i val="0"/>
        <color rgb="FF8A6200"/>
      </font>
      <fill>
        <patternFill>
          <bgColor rgb="FFFDF3D9"/>
        </patternFill>
      </fill>
    </dxf>
    <dxf>
      <font>
        <b/>
        <i val="0"/>
        <color rgb="FF1E6B2E"/>
      </font>
      <fill>
        <patternFill>
          <bgColor rgb="FFE7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50800</xdr:rowOff>
    </xdr:from>
    <xdr:to>
      <xdr:col>2</xdr:col>
      <xdr:colOff>1439018</xdr:colOff>
      <xdr:row>0</xdr:row>
      <xdr:rowOff>330200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6661C8-BBBE-A2C0-4C80-B0016CD9D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0800"/>
          <a:ext cx="1991468" cy="27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1095375</xdr:colOff>
      <xdr:row>0</xdr:row>
      <xdr:rowOff>50800</xdr:rowOff>
    </xdr:from>
    <xdr:to>
      <xdr:col>2</xdr:col>
      <xdr:colOff>1439018</xdr:colOff>
      <xdr:row>0</xdr:row>
      <xdr:rowOff>330200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0976F-29C5-7318-8693-C220939B8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50800"/>
          <a:ext cx="1991468" cy="27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5F07-CE22-4785-88D7-3187CCFE6E43}">
  <dimension ref="A1:E60"/>
  <sheetViews>
    <sheetView tabSelected="1" workbookViewId="0"/>
  </sheetViews>
  <sheetFormatPr defaultRowHeight="15" x14ac:dyDescent="0.25"/>
  <cols>
    <col min="1" max="1" width="40.7109375" style="1" customWidth="1"/>
    <col min="2" max="2" width="24.7109375" style="1" customWidth="1"/>
    <col min="3" max="3" width="38.7109375" style="1" customWidth="1"/>
    <col min="4" max="16384" width="9.140625" style="1"/>
  </cols>
  <sheetData>
    <row r="1" spans="1:5" ht="30" customHeight="1" x14ac:dyDescent="0.35">
      <c r="A1" s="2" t="s">
        <v>0</v>
      </c>
      <c r="B1" s="3"/>
      <c r="C1" s="3"/>
      <c r="D1" s="3"/>
      <c r="E1" s="3"/>
    </row>
    <row r="2" spans="1:5" x14ac:dyDescent="0.25">
      <c r="A2" s="4" t="s">
        <v>1</v>
      </c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ht="15.75" x14ac:dyDescent="0.25">
      <c r="A4" s="8" t="s">
        <v>2</v>
      </c>
      <c r="B4" s="3"/>
      <c r="C4" s="3"/>
      <c r="D4" s="3"/>
      <c r="E4" s="3"/>
    </row>
    <row r="5" spans="1:5" x14ac:dyDescent="0.25">
      <c r="A5" s="4" t="s">
        <v>3</v>
      </c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ht="15.75" x14ac:dyDescent="0.25">
      <c r="A7" s="8" t="s">
        <v>4</v>
      </c>
      <c r="B7" s="3"/>
      <c r="C7" s="3"/>
      <c r="D7" s="3"/>
      <c r="E7" s="3"/>
    </row>
    <row r="8" spans="1:5" x14ac:dyDescent="0.25">
      <c r="A8" s="3" t="s">
        <v>5</v>
      </c>
      <c r="B8" s="5" t="s">
        <v>6</v>
      </c>
      <c r="C8" s="3"/>
      <c r="D8" s="3"/>
      <c r="E8" s="3"/>
    </row>
    <row r="9" spans="1:5" x14ac:dyDescent="0.25">
      <c r="A9" s="3" t="s">
        <v>7</v>
      </c>
      <c r="B9" s="10">
        <v>500</v>
      </c>
      <c r="C9" s="4"/>
      <c r="D9" s="3"/>
      <c r="E9" s="3"/>
    </row>
    <row r="10" spans="1:5" x14ac:dyDescent="0.25">
      <c r="A10" s="3" t="s">
        <v>8</v>
      </c>
      <c r="B10" s="11">
        <v>0.12</v>
      </c>
      <c r="C10" s="4"/>
      <c r="D10" s="3"/>
      <c r="E10" s="3"/>
    </row>
    <row r="11" spans="1:5" x14ac:dyDescent="0.25">
      <c r="A11" s="3" t="s">
        <v>9</v>
      </c>
      <c r="B11" s="11">
        <v>0.02</v>
      </c>
      <c r="C11" s="4"/>
      <c r="D11" s="3"/>
      <c r="E11" s="3"/>
    </row>
    <row r="12" spans="1:5" x14ac:dyDescent="0.25">
      <c r="A12" s="3" t="s">
        <v>10</v>
      </c>
      <c r="B12" s="5" t="s">
        <v>11</v>
      </c>
      <c r="C12" s="4"/>
      <c r="D12" s="3"/>
      <c r="E12" s="3"/>
    </row>
    <row r="13" spans="1:5" x14ac:dyDescent="0.25">
      <c r="A13" s="3" t="s">
        <v>12</v>
      </c>
      <c r="B13" s="11">
        <v>0.01</v>
      </c>
      <c r="C13" s="4"/>
      <c r="D13" s="3"/>
      <c r="E13" s="3"/>
    </row>
    <row r="14" spans="1:5" x14ac:dyDescent="0.25">
      <c r="A14" s="3" t="s">
        <v>13</v>
      </c>
      <c r="B14" s="11">
        <v>0.6</v>
      </c>
      <c r="C14" s="4"/>
      <c r="D14" s="3"/>
      <c r="E14" s="3"/>
    </row>
    <row r="15" spans="1:5" x14ac:dyDescent="0.25">
      <c r="A15" s="3" t="s">
        <v>14</v>
      </c>
      <c r="B15" s="11">
        <v>0.2</v>
      </c>
      <c r="C15" s="4" t="s">
        <v>15</v>
      </c>
      <c r="D15" s="3"/>
      <c r="E15" s="3"/>
    </row>
    <row r="16" spans="1:5" x14ac:dyDescent="0.25">
      <c r="A16" s="3"/>
      <c r="B16" s="3"/>
      <c r="C16" s="4"/>
      <c r="D16" s="3"/>
      <c r="E16" s="3"/>
    </row>
    <row r="17" spans="1:5" ht="15.75" x14ac:dyDescent="0.25">
      <c r="A17" s="8" t="s">
        <v>16</v>
      </c>
      <c r="B17" s="3"/>
      <c r="C17" s="4" t="s">
        <v>17</v>
      </c>
      <c r="D17" s="3"/>
      <c r="E17" s="3"/>
    </row>
    <row r="18" spans="1:5" x14ac:dyDescent="0.25">
      <c r="A18" s="9" t="s">
        <v>18</v>
      </c>
      <c r="B18" s="9" t="s">
        <v>19</v>
      </c>
      <c r="C18" s="3"/>
      <c r="D18" s="3"/>
      <c r="E18" s="3"/>
    </row>
    <row r="19" spans="1:5" x14ac:dyDescent="0.25">
      <c r="A19" s="5" t="s">
        <v>20</v>
      </c>
      <c r="B19" s="10">
        <v>15</v>
      </c>
      <c r="C19" s="3"/>
      <c r="D19" s="3"/>
      <c r="E19" s="3"/>
    </row>
    <row r="20" spans="1:5" x14ac:dyDescent="0.25">
      <c r="A20" s="5"/>
      <c r="B20" s="10"/>
      <c r="C20" s="3"/>
      <c r="D20" s="3"/>
      <c r="E20" s="3"/>
    </row>
    <row r="21" spans="1:5" x14ac:dyDescent="0.25">
      <c r="A21" s="5"/>
      <c r="B21" s="10"/>
      <c r="C21" s="3"/>
      <c r="D21" s="3"/>
      <c r="E21" s="3"/>
    </row>
    <row r="22" spans="1:5" x14ac:dyDescent="0.25">
      <c r="A22" s="5"/>
      <c r="B22" s="10"/>
      <c r="C22" s="3"/>
      <c r="D22" s="3"/>
      <c r="E22" s="3"/>
    </row>
    <row r="23" spans="1:5" x14ac:dyDescent="0.25">
      <c r="A23" s="5"/>
      <c r="B23" s="10"/>
      <c r="C23" s="3"/>
      <c r="D23" s="3"/>
      <c r="E23" s="3"/>
    </row>
    <row r="24" spans="1:5" x14ac:dyDescent="0.25">
      <c r="A24" s="5"/>
      <c r="B24" s="10"/>
      <c r="C24" s="3"/>
      <c r="D24" s="3"/>
      <c r="E24" s="3"/>
    </row>
    <row r="25" spans="1:5" x14ac:dyDescent="0.25">
      <c r="A25" s="5"/>
      <c r="B25" s="10"/>
      <c r="C25" s="3"/>
      <c r="D25" s="3"/>
      <c r="E25" s="3"/>
    </row>
    <row r="26" spans="1:5" x14ac:dyDescent="0.25">
      <c r="A26" s="5"/>
      <c r="B26" s="10"/>
      <c r="C26" s="3"/>
      <c r="D26" s="3"/>
      <c r="E26" s="3"/>
    </row>
    <row r="27" spans="1:5" x14ac:dyDescent="0.25">
      <c r="A27" s="5"/>
      <c r="B27" s="10"/>
      <c r="C27" s="3"/>
      <c r="D27" s="3"/>
      <c r="E27" s="3"/>
    </row>
    <row r="28" spans="1:5" x14ac:dyDescent="0.25">
      <c r="A28" s="5"/>
      <c r="B28" s="10"/>
      <c r="C28" s="3"/>
      <c r="D28" s="3"/>
      <c r="E28" s="3"/>
    </row>
    <row r="29" spans="1:5" x14ac:dyDescent="0.25">
      <c r="A29" s="13" t="s">
        <v>21</v>
      </c>
      <c r="B29" s="14">
        <f>SUM(B19:B28)</f>
        <v>15</v>
      </c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ht="15.75" x14ac:dyDescent="0.25">
      <c r="A31" s="8" t="s">
        <v>22</v>
      </c>
      <c r="B31" s="3"/>
      <c r="C31" s="4" t="s">
        <v>23</v>
      </c>
      <c r="D31" s="3"/>
      <c r="E31" s="3"/>
    </row>
    <row r="32" spans="1:5" x14ac:dyDescent="0.25">
      <c r="A32" s="3" t="s">
        <v>7</v>
      </c>
      <c r="B32" s="12">
        <f>B9</f>
        <v>500</v>
      </c>
      <c r="C32" s="3"/>
      <c r="D32" s="3"/>
      <c r="E32" s="3"/>
    </row>
    <row r="33" spans="1:5" x14ac:dyDescent="0.25">
      <c r="A33" s="21" t="s">
        <v>24</v>
      </c>
      <c r="B33" s="22">
        <f>B9*B10</f>
        <v>60</v>
      </c>
      <c r="C33" s="3"/>
      <c r="D33" s="3"/>
      <c r="E33" s="3"/>
    </row>
    <row r="34" spans="1:5" x14ac:dyDescent="0.25">
      <c r="A34" s="21" t="s">
        <v>25</v>
      </c>
      <c r="B34" s="22">
        <f>B9*B11</f>
        <v>10</v>
      </c>
      <c r="C34" s="3"/>
      <c r="D34" s="3"/>
      <c r="E34" s="3"/>
    </row>
    <row r="35" spans="1:5" x14ac:dyDescent="0.25">
      <c r="A35" s="21" t="s">
        <v>26</v>
      </c>
      <c r="B35" s="22">
        <f>B29</f>
        <v>15</v>
      </c>
      <c r="C35" s="3"/>
      <c r="D35" s="3"/>
      <c r="E35" s="3"/>
    </row>
    <row r="36" spans="1:5" x14ac:dyDescent="0.25">
      <c r="A36" s="21" t="s">
        <v>27</v>
      </c>
      <c r="B36" s="22">
        <f>B9*B14</f>
        <v>300</v>
      </c>
      <c r="C36" s="3"/>
      <c r="D36" s="3"/>
      <c r="E36" s="3"/>
    </row>
    <row r="37" spans="1:5" x14ac:dyDescent="0.25">
      <c r="A37" s="21" t="s">
        <v>28</v>
      </c>
      <c r="B37" s="22">
        <f>B9*B13</f>
        <v>5</v>
      </c>
      <c r="C37" s="3"/>
      <c r="D37" s="3"/>
      <c r="E37" s="3"/>
    </row>
    <row r="38" spans="1:5" x14ac:dyDescent="0.25">
      <c r="A38" s="9" t="s">
        <v>29</v>
      </c>
      <c r="B38" s="16">
        <f>B32-B33-B34-B35-B36-B37</f>
        <v>110</v>
      </c>
      <c r="C38" s="17">
        <f>IFERROR(B38/$B$9,0)</f>
        <v>0.22</v>
      </c>
      <c r="D38" s="3"/>
      <c r="E38" s="3"/>
    </row>
    <row r="39" spans="1:5" x14ac:dyDescent="0.25">
      <c r="A39" s="3" t="s">
        <v>30</v>
      </c>
      <c r="B39" s="12">
        <f>B9*B15</f>
        <v>100</v>
      </c>
      <c r="C39" s="3"/>
      <c r="D39" s="3"/>
      <c r="E39" s="3"/>
    </row>
    <row r="40" spans="1:5" ht="17.25" x14ac:dyDescent="0.3">
      <c r="A40" s="18" t="s">
        <v>31</v>
      </c>
      <c r="B40" s="19">
        <f>B38-B39</f>
        <v>10</v>
      </c>
      <c r="C40" s="20">
        <f>IFERROR(B40/$B$9,0)</f>
        <v>0.02</v>
      </c>
      <c r="D40" s="3"/>
      <c r="E40" s="3"/>
    </row>
    <row r="41" spans="1:5" x14ac:dyDescent="0.25">
      <c r="A41" s="3"/>
      <c r="B41" s="3"/>
      <c r="C41" s="3"/>
      <c r="D41" s="3"/>
      <c r="E41" s="3"/>
    </row>
    <row r="42" spans="1:5" ht="15.75" x14ac:dyDescent="0.25">
      <c r="A42" s="8" t="s">
        <v>32</v>
      </c>
      <c r="B42" s="23" t="str">
        <f>IF($B$9=0,"Informe o valor de venda para calcular",IF(C40&gt;0.2,"Margem saudável — acima da meta de 20%",IF(C40&gt;=0.1,"Margem de atenção — entre 10% e 20%","Margem crítica — abaixo de 10%")))</f>
        <v>Margem crítica — abaixo de 10%</v>
      </c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6" t="s">
        <v>33</v>
      </c>
      <c r="B44" s="3"/>
      <c r="C44" s="3"/>
      <c r="D44" s="3"/>
      <c r="E44" s="3"/>
    </row>
    <row r="45" spans="1:5" x14ac:dyDescent="0.25">
      <c r="A45" s="6" t="s">
        <v>34</v>
      </c>
      <c r="B45" s="3"/>
      <c r="C45" s="3"/>
      <c r="D45" s="3"/>
      <c r="E45" s="3"/>
    </row>
    <row r="46" spans="1:5" x14ac:dyDescent="0.25">
      <c r="A46" s="6" t="s">
        <v>35</v>
      </c>
      <c r="B46" s="3"/>
      <c r="C46" s="3"/>
      <c r="D46" s="3"/>
      <c r="E46" s="3"/>
    </row>
    <row r="47" spans="1:5" x14ac:dyDescent="0.25">
      <c r="A47" s="6"/>
      <c r="B47" s="3"/>
      <c r="C47" s="3"/>
      <c r="D47" s="3"/>
      <c r="E47" s="3"/>
    </row>
    <row r="48" spans="1:5" x14ac:dyDescent="0.25">
      <c r="A48" s="6" t="s">
        <v>36</v>
      </c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</sheetData>
  <conditionalFormatting sqref="C40">
    <cfRule type="cellIs" dxfId="3" priority="1" stopIfTrue="1" operator="greaterThan">
      <formula>0.2</formula>
    </cfRule>
    <cfRule type="cellIs" dxfId="2" priority="2" stopIfTrue="1" operator="between">
      <formula>0.1</formula>
      <formula>0.2</formula>
    </cfRule>
    <cfRule type="cellIs" dxfId="1" priority="3" stopIfTrue="1" operator="lessThan">
      <formula>0.1</formula>
    </cfRule>
  </conditionalFormatting>
  <dataValidations count="1">
    <dataValidation type="list" allowBlank="1" showInputMessage="1" showErrorMessage="1" sqref="B12" xr:uid="{5AC279E5-2AA7-4CD8-B2E6-E7EAFDCED3C9}">
      <formula1>"Sem antecipacao,Com antecipacao"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ED72-CE67-4F74-BC1F-CA431CF06563}">
  <dimension ref="A1:E60"/>
  <sheetViews>
    <sheetView workbookViewId="0"/>
  </sheetViews>
  <sheetFormatPr defaultRowHeight="15" x14ac:dyDescent="0.25"/>
  <cols>
    <col min="1" max="1" width="40.7109375" style="1" customWidth="1"/>
    <col min="2" max="2" width="24.7109375" style="1" customWidth="1"/>
    <col min="3" max="3" width="38.7109375" style="1" customWidth="1"/>
    <col min="4" max="16384" width="9.140625" style="1"/>
  </cols>
  <sheetData>
    <row r="1" spans="1:5" ht="30" customHeight="1" x14ac:dyDescent="0.35">
      <c r="A1" s="2" t="s">
        <v>37</v>
      </c>
      <c r="B1" s="3"/>
      <c r="C1" s="3"/>
      <c r="D1" s="3"/>
      <c r="E1" s="3"/>
    </row>
    <row r="2" spans="1:5" x14ac:dyDescent="0.25">
      <c r="A2" s="4" t="s">
        <v>38</v>
      </c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ht="15.75" x14ac:dyDescent="0.25">
      <c r="A4" s="8" t="s">
        <v>2</v>
      </c>
      <c r="B4" s="3"/>
      <c r="C4" s="3"/>
      <c r="D4" s="3"/>
      <c r="E4" s="3"/>
    </row>
    <row r="5" spans="1:5" x14ac:dyDescent="0.25">
      <c r="A5" s="4" t="s">
        <v>39</v>
      </c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ht="15.75" x14ac:dyDescent="0.25">
      <c r="A7" s="8" t="s">
        <v>40</v>
      </c>
      <c r="B7" s="3"/>
      <c r="C7" s="3"/>
      <c r="D7" s="3"/>
      <c r="E7" s="3"/>
    </row>
    <row r="8" spans="1:5" x14ac:dyDescent="0.25">
      <c r="A8" s="3" t="s">
        <v>41</v>
      </c>
      <c r="B8" s="10">
        <v>40000</v>
      </c>
      <c r="C8" s="3"/>
      <c r="D8" s="3"/>
      <c r="E8" s="3"/>
    </row>
    <row r="9" spans="1:5" x14ac:dyDescent="0.25">
      <c r="A9" s="3" t="s">
        <v>42</v>
      </c>
      <c r="B9" s="24">
        <v>4</v>
      </c>
      <c r="C9" s="4" t="s">
        <v>43</v>
      </c>
      <c r="D9" s="3"/>
      <c r="E9" s="3"/>
    </row>
    <row r="10" spans="1:5" x14ac:dyDescent="0.25">
      <c r="A10" s="3" t="s">
        <v>44</v>
      </c>
      <c r="B10" s="24">
        <v>8</v>
      </c>
      <c r="C10" s="4"/>
      <c r="D10" s="3"/>
      <c r="E10" s="3"/>
    </row>
    <row r="11" spans="1:5" x14ac:dyDescent="0.25">
      <c r="A11" s="3" t="s">
        <v>45</v>
      </c>
      <c r="B11" s="24">
        <v>5</v>
      </c>
      <c r="C11" s="4"/>
      <c r="D11" s="3"/>
      <c r="E11" s="3"/>
    </row>
    <row r="12" spans="1:5" x14ac:dyDescent="0.25">
      <c r="A12" s="3" t="s">
        <v>46</v>
      </c>
      <c r="B12" s="24">
        <v>4</v>
      </c>
      <c r="C12" s="4"/>
      <c r="D12" s="3"/>
      <c r="E12" s="3"/>
    </row>
    <row r="13" spans="1:5" x14ac:dyDescent="0.25">
      <c r="A13" s="3"/>
      <c r="B13" s="3"/>
      <c r="C13" s="4"/>
      <c r="D13" s="3"/>
      <c r="E13" s="3"/>
    </row>
    <row r="14" spans="1:5" ht="15.75" x14ac:dyDescent="0.25">
      <c r="A14" s="8" t="s">
        <v>47</v>
      </c>
      <c r="B14" s="3"/>
      <c r="C14" s="4"/>
      <c r="D14" s="3"/>
      <c r="E14" s="3"/>
    </row>
    <row r="15" spans="1:5" x14ac:dyDescent="0.25">
      <c r="A15" s="9" t="s">
        <v>48</v>
      </c>
      <c r="B15" s="9" t="s">
        <v>49</v>
      </c>
      <c r="C15" s="4"/>
      <c r="D15" s="3"/>
      <c r="E15" s="3"/>
    </row>
    <row r="16" spans="1:5" x14ac:dyDescent="0.25">
      <c r="A16" s="3" t="s">
        <v>50</v>
      </c>
      <c r="B16" s="25">
        <v>30</v>
      </c>
      <c r="C16" s="4"/>
      <c r="D16" s="3"/>
      <c r="E16" s="3"/>
    </row>
    <row r="17" spans="1:5" x14ac:dyDescent="0.25">
      <c r="A17" s="3" t="s">
        <v>51</v>
      </c>
      <c r="B17" s="25">
        <v>25</v>
      </c>
      <c r="C17" s="4"/>
      <c r="D17" s="3"/>
      <c r="E17" s="3"/>
    </row>
    <row r="18" spans="1:5" x14ac:dyDescent="0.25">
      <c r="A18" s="3" t="s">
        <v>52</v>
      </c>
      <c r="B18" s="25">
        <v>20</v>
      </c>
      <c r="C18" s="3"/>
      <c r="D18" s="3"/>
      <c r="E18" s="3"/>
    </row>
    <row r="19" spans="1:5" x14ac:dyDescent="0.25">
      <c r="A19" s="3" t="s">
        <v>53</v>
      </c>
      <c r="B19" s="25">
        <v>25</v>
      </c>
      <c r="C19" s="3"/>
      <c r="D19" s="3"/>
      <c r="E19" s="3"/>
    </row>
    <row r="20" spans="1:5" x14ac:dyDescent="0.25">
      <c r="A20" s="3" t="s">
        <v>54</v>
      </c>
      <c r="B20" s="25"/>
      <c r="C20" s="3"/>
      <c r="D20" s="3"/>
      <c r="E20" s="3"/>
    </row>
    <row r="21" spans="1:5" x14ac:dyDescent="0.25">
      <c r="A21" s="3" t="s">
        <v>55</v>
      </c>
      <c r="B21" s="25"/>
      <c r="C21" s="3"/>
      <c r="D21" s="3"/>
      <c r="E21" s="3"/>
    </row>
    <row r="22" spans="1:5" x14ac:dyDescent="0.25">
      <c r="A22" s="3" t="s">
        <v>56</v>
      </c>
      <c r="B22" s="25"/>
      <c r="C22" s="3"/>
      <c r="D22" s="3"/>
      <c r="E22" s="3"/>
    </row>
    <row r="23" spans="1:5" x14ac:dyDescent="0.25">
      <c r="A23" s="3" t="s">
        <v>57</v>
      </c>
      <c r="B23" s="25"/>
      <c r="C23" s="3"/>
      <c r="D23" s="3"/>
      <c r="E23" s="3"/>
    </row>
    <row r="24" spans="1:5" x14ac:dyDescent="0.25">
      <c r="A24" s="3" t="s">
        <v>58</v>
      </c>
      <c r="B24" s="25"/>
      <c r="C24" s="3"/>
      <c r="D24" s="3"/>
      <c r="E24" s="3"/>
    </row>
    <row r="25" spans="1:5" x14ac:dyDescent="0.25">
      <c r="A25" s="3" t="s">
        <v>59</v>
      </c>
      <c r="B25" s="28"/>
      <c r="C25" s="3"/>
      <c r="D25" s="3"/>
      <c r="E25" s="3"/>
    </row>
    <row r="26" spans="1:5" x14ac:dyDescent="0.25">
      <c r="A26" s="29" t="s">
        <v>60</v>
      </c>
      <c r="B26" s="30">
        <f>SUM(B16:B25)</f>
        <v>100</v>
      </c>
      <c r="C26" s="3"/>
      <c r="D26" s="3"/>
      <c r="E26" s="3"/>
    </row>
    <row r="27" spans="1:5" x14ac:dyDescent="0.25">
      <c r="A27" s="7" t="s">
        <v>61</v>
      </c>
      <c r="B27" s="27">
        <f>IFERROR(B26/B9,0)</f>
        <v>25</v>
      </c>
      <c r="C27" s="3"/>
      <c r="D27" s="3"/>
      <c r="E27" s="3"/>
    </row>
    <row r="28" spans="1:5" x14ac:dyDescent="0.25">
      <c r="A28" s="3" t="s">
        <v>62</v>
      </c>
      <c r="B28" s="31" t="str">
        <f>IF(COUNT(B16:B25)=B9,"OK — salas preenchidas conferem","ATENÇÃO: preencha exatamente "&amp;B9&amp;" sala(s), uma por linha")</f>
        <v>OK — salas preenchidas conferem</v>
      </c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ht="15.75" x14ac:dyDescent="0.25">
      <c r="A30" s="8" t="s">
        <v>22</v>
      </c>
      <c r="B30" s="3"/>
      <c r="C30" s="3"/>
      <c r="D30" s="3"/>
      <c r="E30" s="3"/>
    </row>
    <row r="31" spans="1:5" x14ac:dyDescent="0.25">
      <c r="A31" s="3" t="s">
        <v>63</v>
      </c>
      <c r="B31" s="26">
        <f>B9*B10*B11*B12</f>
        <v>640</v>
      </c>
      <c r="C31" s="3"/>
      <c r="D31" s="3"/>
      <c r="E31" s="3"/>
    </row>
    <row r="32" spans="1:5" x14ac:dyDescent="0.25">
      <c r="A32" s="3" t="s">
        <v>64</v>
      </c>
      <c r="B32" s="26">
        <f>B26*B12</f>
        <v>400</v>
      </c>
      <c r="C32" s="3"/>
      <c r="D32" s="3"/>
      <c r="E32" s="3"/>
    </row>
    <row r="33" spans="1:5" x14ac:dyDescent="0.25">
      <c r="A33" s="3" t="s">
        <v>65</v>
      </c>
      <c r="B33" s="26">
        <f>MAX(0,B31-B32)</f>
        <v>240</v>
      </c>
      <c r="C33" s="3"/>
      <c r="D33" s="3"/>
      <c r="E33" s="3"/>
    </row>
    <row r="34" spans="1:5" x14ac:dyDescent="0.25">
      <c r="A34" s="7" t="s">
        <v>66</v>
      </c>
      <c r="B34" s="15">
        <f>IFERROR(B32/B31,0)</f>
        <v>0.625</v>
      </c>
      <c r="C34" s="3"/>
      <c r="D34" s="3"/>
      <c r="E34" s="3"/>
    </row>
    <row r="35" spans="1:5" x14ac:dyDescent="0.25">
      <c r="A35" s="3" t="s">
        <v>67</v>
      </c>
      <c r="B35" s="12">
        <f>IFERROR(B8/B31,0)</f>
        <v>62.5</v>
      </c>
      <c r="C35" s="3"/>
      <c r="D35" s="3"/>
      <c r="E35" s="3"/>
    </row>
    <row r="36" spans="1:5" x14ac:dyDescent="0.25">
      <c r="A36" s="32" t="s">
        <v>68</v>
      </c>
      <c r="B36" s="33">
        <f>B33*B35</f>
        <v>15000</v>
      </c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ht="18.75" x14ac:dyDescent="0.3">
      <c r="A38" s="34" t="s">
        <v>69</v>
      </c>
      <c r="B38" s="35">
        <f>IFERROR(B8/B32,0)</f>
        <v>100</v>
      </c>
      <c r="C38" s="4" t="s">
        <v>70</v>
      </c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6" t="s">
        <v>71</v>
      </c>
      <c r="B40" s="3"/>
      <c r="C40" s="3"/>
      <c r="D40" s="3"/>
      <c r="E40" s="3"/>
    </row>
    <row r="41" spans="1:5" x14ac:dyDescent="0.25">
      <c r="A41" s="6" t="s">
        <v>72</v>
      </c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</sheetData>
  <conditionalFormatting sqref="B28">
    <cfRule type="expression" dxfId="0" priority="1" stopIfTrue="1">
      <formula>COUNT(B16:B25)&lt;&gt;B9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Precificacao</vt:lpstr>
      <vt:lpstr>Hora Sala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Martins Gomes</dc:creator>
  <cp:lastModifiedBy>Adriana Martins Gomes</cp:lastModifiedBy>
  <dcterms:created xsi:type="dcterms:W3CDTF">2026-08-09T18:13:36Z</dcterms:created>
  <dcterms:modified xsi:type="dcterms:W3CDTF">2026-08-09T18:13:37Z</dcterms:modified>
</cp:coreProperties>
</file>